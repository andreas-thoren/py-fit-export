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dreas\Programmering\py-fit-export\"/>
    </mc:Choice>
  </mc:AlternateContent>
  <xr:revisionPtr revIDLastSave="0" documentId="13_ncr:1_{D65F28D2-240B-4E01-9966-ECC1D7175949}" xr6:coauthVersionLast="47" xr6:coauthVersionMax="47" xr10:uidLastSave="{00000000-0000-0000-0000-000000000000}"/>
  <bookViews>
    <workbookView xWindow="-120" yWindow="-120" windowWidth="51840" windowHeight="21120" xr2:uid="{B3D7484D-E6A0-4631-B3D6-45AFE7DACB1F}"/>
  </bookViews>
  <sheets>
    <sheet name="Running sessions" sheetId="4" r:id="rId1"/>
    <sheet name="Cross sessions" sheetId="5" r:id="rId2"/>
    <sheet name="Strength sessions" sheetId="3" r:id="rId3"/>
  </sheets>
  <definedNames>
    <definedName name="cross_base_load">#REF!</definedName>
    <definedName name="cross_load_warning">#REF!</definedName>
    <definedName name="overThreshold" comment="Returns True/False depending on if the increase of load/dst is deemed safe. baseVal = corresponding basic value in the Setup data sheet. currentVal = current weeks value (ex F3). col is the col with the values (ex $F$3:$F$19). Threshold is max safe incr.">_xlfn.LAMBDA(_xlpm.baseVal,_xlpm.currentVal,_xlpm.col,_xlpm.threshold,   _xlfn.LET(     _xlpm.radNr, ROW()-ROW(#REF!),     _xlpm.prevVal, IF(_xlpm.radNr&gt;1, INDEX(_xlpm.col, _xlpm.radNr-1), _xlpm.baseVal),     _xlpm.changeFactor, 1+(_xlpm.threshold/100),     AND(       ISNUMBER(_xlpm.currentVal),       ISNUMBER(_xlpm.prevVal),       ISNUMBER(_xlpm.changeFactor),       _xlpm.currentVal&gt;(_xlpm.prevVal*_xlpm.changeFactor)     )   ) )</definedName>
    <definedName name="running_base_dst">#REF!</definedName>
    <definedName name="running_base_load">#REF!</definedName>
    <definedName name="running_dst_warning">#REF!</definedName>
    <definedName name="running_load_warning">#REF!</definedName>
    <definedName name="StrengthLoad">_xlfn.LAMBDA(_xlpm.w, SUMIF(tblStrength[Wk], _xlpm.w, tblStrength[Load]))</definedName>
    <definedName name="StrengthSummary">_xlfn.LAMBDA(_xlpm.w,   _xlfn.LET(     _xlpm.nL, COUNTIFS(tblStrength[Wk], _xlpm.w, tblStrength[leg_sets], "&gt;0"),     _xlpm.nC, COUNTIFS(tblStrength[Wk], _xlpm.w, tblStrength[core_sets], "&gt;0"),     _xlpm.nU, COUNTIFS(tblStrength[Wk], _xlpm.w, tblStrength[upper_body_sets], "&gt;0"),     _xlpm.nP, COUNTIFS(tblStrength[Wk], _xlpm.w, tblStrength[plyo_sets], "&gt;0"),     _xlpm.sL, SUMIF(tblStrength[Wk], _xlpm.w, tblStrength[leg_sets]),     _xlpm.sC, SUMIF(tblStrength[Wk], _xlpm.w, tblStrength[core_sets]),     _xlpm.sU, SUMIF(tblStrength[Wk], _xlpm.w, tblStrength[upper_body_sets]),     _xlpm.sP, SUMIF(tblStrength[Wk], _xlpm.w, tblStrength[plyo_sets]),     _xlpm.txt, _xlfn.TEXTJOIN(", ", TRUE,           IF(_xlpm.nL&gt;0, "Legs x " &amp; _xlpm.nL &amp; " (" &amp; _xlpm.sL &amp; " sets)", ""),           IF(_xlpm.nC&gt;0, "Core x " &amp; _xlpm.nC &amp; " (" &amp; _xlpm.sC &amp; " sets)", ""),           IF(_xlpm.nU&gt;0, "Upper body x " &amp; _xlpm.nU &amp; " (" &amp; _xlpm.sU &amp; " sets)", ""),           IF(_xlpm.nP&gt;0, "Plyo x " &amp; _xlpm.nP &amp; " (" &amp; _xlpm.sP &amp; " sets)", "")         ),     _xlpm.txt   ) )</definedName>
    <definedName name="total_load_warning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4" l="1"/>
  <c r="A22" i="4"/>
  <c r="A21" i="4"/>
  <c r="A19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H3" i="3"/>
  <c r="H4" i="3"/>
  <c r="H6" i="3"/>
  <c r="H7" i="3"/>
  <c r="H8" i="3"/>
  <c r="H9" i="3"/>
  <c r="H10" i="3"/>
  <c r="H5" i="3"/>
  <c r="H11" i="3"/>
  <c r="H12" i="3"/>
  <c r="H14" i="3"/>
  <c r="H13" i="3"/>
  <c r="H15" i="3"/>
  <c r="H16" i="3"/>
  <c r="H17" i="3"/>
  <c r="H18" i="3"/>
  <c r="H19" i="3"/>
</calcChain>
</file>

<file path=xl/sharedStrings.xml><?xml version="1.0" encoding="utf-8"?>
<sst xmlns="http://schemas.openxmlformats.org/spreadsheetml/2006/main" count="89" uniqueCount="49">
  <si>
    <t>Wk</t>
  </si>
  <si>
    <t>Comment</t>
  </si>
  <si>
    <t>RUNNING - SESSIONS</t>
  </si>
  <si>
    <t>Date</t>
  </si>
  <si>
    <t>Name</t>
  </si>
  <si>
    <t>Distance</t>
  </si>
  <si>
    <t>Load</t>
  </si>
  <si>
    <t>Status</t>
  </si>
  <si>
    <t>Mixed intervalls: 2 x 6 min tröskel + 6 x 30/30 VO2-max</t>
  </si>
  <si>
    <t>Utfört</t>
  </si>
  <si>
    <t>Långpass - Walk/Run</t>
  </si>
  <si>
    <t>Mixed intervalls: 2 x 8 min tröskel + 6 x 30/30 VO2-max</t>
  </si>
  <si>
    <t>Löpband - Bas</t>
  </si>
  <si>
    <t>Långpass bas med progression sista 2,75 km</t>
  </si>
  <si>
    <t>Baspass med progression + strides x 4</t>
  </si>
  <si>
    <t>Långpass - Walk/Run bas</t>
  </si>
  <si>
    <t>3 x 8 min tröskel @4:38/4:48/5:05 + 4 x strides</t>
  </si>
  <si>
    <t>Lite förkyld. Tog det väldigt lugnt.</t>
  </si>
  <si>
    <t>Baspass</t>
  </si>
  <si>
    <t>Första pass efter förkylning</t>
  </si>
  <si>
    <t>Progression</t>
  </si>
  <si>
    <t>Första pass efter ryggskott</t>
  </si>
  <si>
    <t>2 x 8 min tröskel + 2 x strides</t>
  </si>
  <si>
    <t>3 x 6 min tröskel + 3 x strides</t>
  </si>
  <si>
    <t>Progression med strides x 4</t>
  </si>
  <si>
    <t>3 x 7 min tröskel + 3 x strides</t>
  </si>
  <si>
    <t>CROSS TRAINING - SESSIONS</t>
  </si>
  <si>
    <t>Time</t>
  </si>
  <si>
    <t>Zwift cykling - Återhämtning</t>
  </si>
  <si>
    <t>Första zwift workouten. Extremt lätt</t>
  </si>
  <si>
    <t>Zwift cykling - Bas</t>
  </si>
  <si>
    <t>Zwift cykling - Återhämtning/Bas</t>
  </si>
  <si>
    <t>Förkyld</t>
  </si>
  <si>
    <t>STRENTH - SESSIONS</t>
  </si>
  <si>
    <t>leg_sets</t>
  </si>
  <si>
    <t>core_sets</t>
  </si>
  <si>
    <t>upper_body_sets</t>
  </si>
  <si>
    <t>plyo_sets</t>
  </si>
  <si>
    <t>Total sets</t>
  </si>
  <si>
    <t>Helkropp cpx</t>
  </si>
  <si>
    <t>Helkropp baspass</t>
  </si>
  <si>
    <t>Överkropp</t>
  </si>
  <si>
    <t>Styrka - Ben/cpx + Core</t>
  </si>
  <si>
    <t>Ben + Core komplett veckopass</t>
  </si>
  <si>
    <t>Ben + Core baspass</t>
  </si>
  <si>
    <t>Överkropp/Core</t>
  </si>
  <si>
    <t>Ben/cpx</t>
  </si>
  <si>
    <t xml:space="preserve">Ben baspass </t>
  </si>
  <si>
    <t>Helkropp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</si>
</sst>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/>
    <xf numFmtId="0" fontId="0" fillId="0" borderId="10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14" fontId="0" fillId="0" borderId="12" xfId="0" applyNumberFormat="1" applyBorder="1" applyAlignment="1">
      <alignment vertical="top" wrapText="1"/>
    </xf>
    <xf numFmtId="14" fontId="0" fillId="0" borderId="10" xfId="0" applyNumberFormat="1" applyBorder="1" applyAlignment="1">
      <alignment vertical="top" wrapText="1"/>
    </xf>
    <xf numFmtId="14" fontId="0" fillId="0" borderId="11" xfId="0" applyNumberFormat="1" applyBorder="1" applyAlignment="1">
      <alignment vertical="top" wrapText="1"/>
    </xf>
    <xf numFmtId="14" fontId="0" fillId="0" borderId="0" xfId="0" applyNumberFormat="1"/>
    <xf numFmtId="1" fontId="0" fillId="0" borderId="10" xfId="0" applyNumberFormat="1" applyBorder="1" applyAlignment="1">
      <alignment vertical="top" wrapText="1"/>
    </xf>
    <xf numFmtId="1" fontId="0" fillId="0" borderId="11" xfId="0" applyNumberFormat="1" applyBorder="1" applyAlignment="1">
      <alignment vertical="top" wrapText="1"/>
    </xf>
    <xf numFmtId="1" fontId="0" fillId="0" borderId="12" xfId="0" applyNumberFormat="1" applyBorder="1" applyAlignment="1">
      <alignment vertical="top" wrapText="1"/>
    </xf>
    <xf numFmtId="2" fontId="0" fillId="0" borderId="12" xfId="0" applyNumberFormat="1" applyBorder="1" applyAlignment="1">
      <alignment vertical="top" wrapText="1"/>
    </xf>
    <xf numFmtId="2" fontId="0" fillId="0" borderId="10" xfId="0" applyNumberFormat="1" applyBorder="1" applyAlignment="1">
      <alignment vertical="top" wrapText="1"/>
    </xf>
    <xf numFmtId="2" fontId="0" fillId="0" borderId="11" xfId="0" applyNumberFormat="1" applyBorder="1" applyAlignment="1">
      <alignment vertical="top" wrapText="1"/>
    </xf>
    <xf numFmtId="164" fontId="0" fillId="0" borderId="12" xfId="0" applyNumberFormat="1" applyBorder="1" applyAlignment="1">
      <alignment vertical="top" wrapText="1"/>
    </xf>
    <xf numFmtId="164" fontId="0" fillId="0" borderId="10" xfId="0" applyNumberFormat="1" applyBorder="1" applyAlignment="1">
      <alignment vertical="top" wrapText="1"/>
    </xf>
    <xf numFmtId="164" fontId="0" fillId="0" borderId="11" xfId="0" applyNumberFormat="1" applyBorder="1" applyAlignment="1">
      <alignment vertical="top" wrapText="1"/>
    </xf>
    <xf numFmtId="1" fontId="18" fillId="34" borderId="0" xfId="0" applyNumberFormat="1" applyFont="1" applyFill="1" applyAlignment="1">
      <alignment horizontal="center" vertical="center"/>
    </xf>
    <xf numFmtId="1" fontId="18" fillId="35" borderId="0" xfId="0" applyNumberFormat="1" applyFont="1" applyFill="1" applyAlignment="1">
      <alignment horizontal="center" vertical="center"/>
    </xf>
    <xf numFmtId="1" fontId="18" fillId="33" borderId="0" xfId="0" applyNumberFormat="1" applyFont="1" applyFill="1" applyAlignment="1">
      <alignment horizontal="center" vertical="center"/>
    </xf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28">
    <dxf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[$-F400]h:mm:ss\ AM/PM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yyyy/mm/dd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yyyy/mm/dd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E95664-FB0F-444D-8522-EA1285DD97A5}" name="tblRun" displayName="tblRun" ref="A2:G22" totalsRowShown="0" dataDxfId="27">
  <autoFilter ref="A2:G22" xr:uid="{2AF33717-E877-48A8-AD3A-BF6303410C64}"/>
  <sortState xmlns:xlrd2="http://schemas.microsoft.com/office/spreadsheetml/2017/richdata2" ref="A3:G22">
    <sortCondition ref="B2:B22"/>
  </sortState>
  <tableColumns count="7">
    <tableColumn id="8" xr3:uid="{ADB2F863-9BDF-4493-9AF4-476534666CC8}" name="Wk" dataDxfId="26">
      <calculatedColumnFormula>IF(tblRun[[#This Row],[Date]]="","",WEEKNUM(tblRun[[#This Row],[Date]], 21))</calculatedColumnFormula>
    </tableColumn>
    <tableColumn id="3" xr3:uid="{E4BEB4DD-34DF-4F17-9DD4-F553B3D5EB83}" name="Date" dataDxfId="25"/>
    <tableColumn id="4" xr3:uid="{182496CC-D124-4F4C-BA62-5DDB131D8F82}" name="Name" dataDxfId="24"/>
    <tableColumn id="6" xr3:uid="{0A36E8ED-8F8C-47A7-A13F-9C2E9042ADD3}" name="Distance" dataDxfId="23"/>
    <tableColumn id="10" xr3:uid="{3CD983A8-5BD8-4AD5-BD95-C2905642694A}" name="Load" dataDxfId="22"/>
    <tableColumn id="1" xr3:uid="{D8B4D12D-5F38-4CEF-AD91-A478E2129529}" name="Status" dataDxfId="21"/>
    <tableColumn id="5" xr3:uid="{3E6B6552-D04E-49E0-AE3A-8D23247A0B0C}" name="Comment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695918-C466-4216-B86B-CFBB9002BA69}" name="tblCross" displayName="tblCross" ref="A2:G19" totalsRowShown="0" headerRowDxfId="19" dataDxfId="18">
  <autoFilter ref="A2:G19" xr:uid="{2AF33717-E877-48A8-AD3A-BF6303410C64}"/>
  <tableColumns count="7">
    <tableColumn id="8" xr3:uid="{3501A6C0-FA97-4AD1-B5FA-BB31535A093A}" name="Wk" dataDxfId="17"/>
    <tableColumn id="3" xr3:uid="{5F0EFEBE-34E2-4DCD-AA7C-4BE2BA8C822A}" name="Date" dataDxfId="16"/>
    <tableColumn id="4" xr3:uid="{EB808CFD-1A48-45C8-BA8E-EECABC3CEEB8}" name="Name" dataDxfId="15"/>
    <tableColumn id="7" xr3:uid="{FD21569C-4271-4861-80C2-FF9D00427D47}" name="Time" dataDxfId="14"/>
    <tableColumn id="6" xr3:uid="{B4F80126-2D5F-4B0D-909C-0A31F21E9AB9}" name="Distance" dataDxfId="13"/>
    <tableColumn id="10" xr3:uid="{B4742F0C-FF0E-4176-A25C-BE90DB372824}" name="Load" dataDxfId="12"/>
    <tableColumn id="5" xr3:uid="{241E3806-8C7B-4B4B-8FF3-B3DA94888A9B}" name="Comment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F33717-E877-48A8-AD3A-BF6303410C64}" name="tblStrength" displayName="tblStrength" ref="A2:J19" totalsRowShown="0" dataDxfId="10">
  <autoFilter ref="A2:J19" xr:uid="{2AF33717-E877-48A8-AD3A-BF6303410C64}"/>
  <sortState xmlns:xlrd2="http://schemas.microsoft.com/office/spreadsheetml/2017/richdata2" ref="A3:J19">
    <sortCondition ref="A2:A19"/>
  </sortState>
  <tableColumns count="10">
    <tableColumn id="8" xr3:uid="{D665A01E-8747-472A-B44A-67CF9DE0187D}" name="Wk" dataDxfId="9"/>
    <tableColumn id="3" xr3:uid="{85D5E5B1-08F6-494C-AD31-71A4A945C626}" name="Date" dataDxfId="8"/>
    <tableColumn id="4" xr3:uid="{5448E8D2-46AB-4A3E-867A-4C61E717BCB3}" name="Name" dataDxfId="7"/>
    <tableColumn id="2" xr3:uid="{CC713C3B-E84A-45C2-A760-60018AC89006}" name="leg_sets" dataDxfId="6"/>
    <tableColumn id="7" xr3:uid="{304A3241-C78E-4119-8A3A-C3986A50B37D}" name="core_sets" dataDxfId="5"/>
    <tableColumn id="6" xr3:uid="{684171FB-795B-4524-BFE8-62B2DF213EFC}" name="upper_body_sets" dataDxfId="4"/>
    <tableColumn id="9" xr3:uid="{6AD8D1B7-1153-4185-899F-6A98EDE1C125}" name="plyo_sets" dataDxfId="3"/>
    <tableColumn id="1" xr3:uid="{89430917-B6B5-4A6C-B31B-180B454FFAD1}" name="Total sets" dataDxfId="2">
      <calculatedColumnFormula>_xlfn.LET(_xlpm.sets, tblStrength[[#This Row],[leg_sets]]+tblStrength[[#This Row],[core_sets]]+tblStrength[[#This Row],[upper_body_sets]]+tblStrength[[#This Row],[plyo_sets]], IF(_xlpm.sets&gt;0, _xlpm.sets, NA()))</calculatedColumnFormula>
    </tableColumn>
    <tableColumn id="10" xr3:uid="{70FE3740-DA3C-4AD2-8D0F-7D7D2BE2BA80}" name="Load" dataDxfId="1"/>
    <tableColumn id="5" xr3:uid="{B6C40D4B-BE2E-48C2-BAF0-FF89692FEF47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E1D9-06C1-442F-84F5-2AEE4755248A}">
  <dimension ref="A1:G22"/>
  <sheetViews>
    <sheetView tabSelected="1" workbookViewId="0">
      <selection activeCell="G23" sqref="G23"/>
    </sheetView>
  </sheetViews>
  <sheetFormatPr defaultRowHeight="30" customHeight="1" x14ac:dyDescent="0.25"/>
  <cols>
    <col min="1" max="1" width="6.140625" bestFit="1" customWidth="1"/>
    <col min="2" max="2" width="12.28515625" style="9" customWidth="1"/>
    <col min="3" max="3" width="52.140625" style="9" customWidth="1"/>
    <col min="4" max="4" width="12.7109375" customWidth="1"/>
    <col min="5" max="6" width="12.7109375" style="2" customWidth="1"/>
    <col min="7" max="7" width="44.140625" customWidth="1"/>
  </cols>
  <sheetData>
    <row r="1" spans="1:7" ht="30" customHeight="1" x14ac:dyDescent="0.25">
      <c r="A1" s="19" t="s">
        <v>2</v>
      </c>
      <c r="B1" s="19"/>
      <c r="C1" s="19"/>
      <c r="D1" s="19"/>
      <c r="E1" s="19"/>
      <c r="F1" s="19"/>
      <c r="G1" s="19"/>
    </row>
    <row r="2" spans="1:7" ht="30" customHeight="1" x14ac:dyDescent="0.25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1</v>
      </c>
    </row>
    <row r="3" spans="1:7" ht="30" customHeight="1" x14ac:dyDescent="0.25">
      <c r="A3" s="1">
        <f>IF(tblRun[[#This Row],[Date]]="","",WEEKNUM(tblRun[[#This Row],[Date]], 21))</f>
        <v>38</v>
      </c>
      <c r="B3" s="6">
        <v>45915</v>
      </c>
      <c r="C3" s="6" t="s">
        <v>8</v>
      </c>
      <c r="D3" s="13">
        <v>8.2100000000000009</v>
      </c>
      <c r="E3" s="12">
        <v>189</v>
      </c>
      <c r="F3" s="12" t="s">
        <v>9</v>
      </c>
      <c r="G3" s="4"/>
    </row>
    <row r="4" spans="1:7" ht="30" customHeight="1" x14ac:dyDescent="0.25">
      <c r="A4" s="1">
        <f>IF(tblRun[[#This Row],[Date]]="","",WEEKNUM(tblRun[[#This Row],[Date]], 21))</f>
        <v>38</v>
      </c>
      <c r="B4" s="6">
        <v>45919</v>
      </c>
      <c r="C4" s="7" t="s">
        <v>10</v>
      </c>
      <c r="D4" s="14">
        <v>10.06</v>
      </c>
      <c r="E4" s="10">
        <v>136</v>
      </c>
      <c r="F4" s="10" t="s">
        <v>9</v>
      </c>
      <c r="G4" s="3"/>
    </row>
    <row r="5" spans="1:7" ht="30" customHeight="1" x14ac:dyDescent="0.25">
      <c r="A5" s="1">
        <f>IF(tblRun[[#This Row],[Date]]="","",WEEKNUM(tblRun[[#This Row],[Date]], 21))</f>
        <v>39</v>
      </c>
      <c r="B5" s="6">
        <v>45922</v>
      </c>
      <c r="C5" s="7" t="s">
        <v>11</v>
      </c>
      <c r="D5" s="14">
        <v>7.21</v>
      </c>
      <c r="E5" s="10">
        <v>175</v>
      </c>
      <c r="F5" s="10" t="s">
        <v>9</v>
      </c>
      <c r="G5" s="3"/>
    </row>
    <row r="6" spans="1:7" ht="30" customHeight="1" x14ac:dyDescent="0.25">
      <c r="A6" s="1">
        <f>IF(tblRun[[#This Row],[Date]]="","",WEEKNUM(tblRun[[#This Row],[Date]], 21))</f>
        <v>39</v>
      </c>
      <c r="B6" s="7">
        <v>45924</v>
      </c>
      <c r="C6" s="7" t="s">
        <v>12</v>
      </c>
      <c r="D6" s="14">
        <v>2.87</v>
      </c>
      <c r="E6" s="10">
        <v>49</v>
      </c>
      <c r="F6" s="10" t="s">
        <v>9</v>
      </c>
      <c r="G6" s="3"/>
    </row>
    <row r="7" spans="1:7" ht="30" customHeight="1" x14ac:dyDescent="0.25">
      <c r="A7" s="1">
        <f>IF(tblRun[[#This Row],[Date]]="","",WEEKNUM(tblRun[[#This Row],[Date]], 21))</f>
        <v>39</v>
      </c>
      <c r="B7" s="7">
        <v>45926</v>
      </c>
      <c r="C7" s="7" t="s">
        <v>13</v>
      </c>
      <c r="D7" s="14">
        <v>10.01</v>
      </c>
      <c r="E7" s="10">
        <v>180</v>
      </c>
      <c r="F7" s="10" t="s">
        <v>9</v>
      </c>
      <c r="G7" s="3"/>
    </row>
    <row r="8" spans="1:7" ht="30" customHeight="1" x14ac:dyDescent="0.25">
      <c r="A8" s="1">
        <f>IF(tblRun[[#This Row],[Date]]="","",WEEKNUM(tblRun[[#This Row],[Date]], 21))</f>
        <v>40</v>
      </c>
      <c r="B8" s="7">
        <v>45930</v>
      </c>
      <c r="C8" s="7" t="s">
        <v>14</v>
      </c>
      <c r="D8" s="14">
        <v>8.1</v>
      </c>
      <c r="E8" s="10">
        <v>172</v>
      </c>
      <c r="F8" s="10" t="s">
        <v>9</v>
      </c>
      <c r="G8" s="3"/>
    </row>
    <row r="9" spans="1:7" ht="30" customHeight="1" x14ac:dyDescent="0.25">
      <c r="A9" s="1">
        <f>IF(tblRun[[#This Row],[Date]]="","",WEEKNUM(tblRun[[#This Row],[Date]], 21))</f>
        <v>40</v>
      </c>
      <c r="B9" s="7">
        <v>45933</v>
      </c>
      <c r="C9" s="7" t="s">
        <v>15</v>
      </c>
      <c r="D9" s="14">
        <v>11.03</v>
      </c>
      <c r="E9" s="10">
        <v>109</v>
      </c>
      <c r="F9" s="10" t="s">
        <v>9</v>
      </c>
      <c r="G9" s="3"/>
    </row>
    <row r="10" spans="1:7" ht="30" customHeight="1" x14ac:dyDescent="0.25">
      <c r="A10" s="1">
        <f>IF(tblRun[[#This Row],[Date]]="","",WEEKNUM(tblRun[[#This Row],[Date]], 21))</f>
        <v>41</v>
      </c>
      <c r="B10" s="7">
        <v>45936</v>
      </c>
      <c r="C10" s="7" t="s">
        <v>16</v>
      </c>
      <c r="D10" s="14">
        <v>9.32</v>
      </c>
      <c r="E10" s="10">
        <v>213</v>
      </c>
      <c r="F10" s="10" t="s">
        <v>9</v>
      </c>
      <c r="G10" s="3"/>
    </row>
    <row r="11" spans="1:7" ht="30" customHeight="1" x14ac:dyDescent="0.25">
      <c r="A11" s="1">
        <f>IF(tblRun[[#This Row],[Date]]="","",WEEKNUM(tblRun[[#This Row],[Date]], 21))</f>
        <v>41</v>
      </c>
      <c r="B11" s="7">
        <v>45940</v>
      </c>
      <c r="C11" s="7" t="s">
        <v>15</v>
      </c>
      <c r="D11" s="14">
        <v>12.46</v>
      </c>
      <c r="E11" s="10">
        <v>117</v>
      </c>
      <c r="F11" s="10" t="s">
        <v>9</v>
      </c>
      <c r="G11" s="3" t="s">
        <v>17</v>
      </c>
    </row>
    <row r="12" spans="1:7" ht="30" customHeight="1" x14ac:dyDescent="0.25">
      <c r="A12" s="1">
        <f>IF(tblRun[[#This Row],[Date]]="","",WEEKNUM(tblRun[[#This Row],[Date]], 21))</f>
        <v>42</v>
      </c>
      <c r="B12" s="8">
        <v>45948</v>
      </c>
      <c r="C12" s="8" t="s">
        <v>18</v>
      </c>
      <c r="D12" s="15">
        <v>6.63</v>
      </c>
      <c r="E12" s="11">
        <v>91</v>
      </c>
      <c r="F12" s="11" t="s">
        <v>9</v>
      </c>
      <c r="G12" s="5" t="s">
        <v>19</v>
      </c>
    </row>
    <row r="13" spans="1:7" ht="30" customHeight="1" x14ac:dyDescent="0.25">
      <c r="A13" s="1">
        <f>IF(tblRun[[#This Row],[Date]]="","",WEEKNUM(tblRun[[#This Row],[Date]], 21))</f>
        <v>44</v>
      </c>
      <c r="B13" s="7">
        <v>45962</v>
      </c>
      <c r="C13" s="7" t="s">
        <v>20</v>
      </c>
      <c r="D13" s="14">
        <v>4.84</v>
      </c>
      <c r="E13" s="10">
        <v>129</v>
      </c>
      <c r="F13" s="10" t="s">
        <v>9</v>
      </c>
      <c r="G13" s="3" t="s">
        <v>21</v>
      </c>
    </row>
    <row r="14" spans="1:7" ht="30" customHeight="1" x14ac:dyDescent="0.25">
      <c r="A14" s="1">
        <f>IF(tblRun[[#This Row],[Date]]="","",WEEKNUM(tblRun[[#This Row],[Date]], 21))</f>
        <v>45</v>
      </c>
      <c r="B14" s="7">
        <v>45965</v>
      </c>
      <c r="C14" s="7" t="s">
        <v>20</v>
      </c>
      <c r="D14" s="14">
        <v>7.56</v>
      </c>
      <c r="E14" s="10">
        <v>156</v>
      </c>
      <c r="F14" s="10" t="s">
        <v>9</v>
      </c>
      <c r="G14" s="3"/>
    </row>
    <row r="15" spans="1:7" ht="30" customHeight="1" x14ac:dyDescent="0.25">
      <c r="A15" s="1">
        <f>IF(tblRun[[#This Row],[Date]]="","",WEEKNUM(tblRun[[#This Row],[Date]], 21))</f>
        <v>45</v>
      </c>
      <c r="B15" s="7">
        <v>45969</v>
      </c>
      <c r="C15" s="7" t="s">
        <v>20</v>
      </c>
      <c r="D15" s="14">
        <v>6.95</v>
      </c>
      <c r="E15" s="10">
        <v>137</v>
      </c>
      <c r="F15" s="10" t="s">
        <v>9</v>
      </c>
      <c r="G15" s="3"/>
    </row>
    <row r="16" spans="1:7" ht="30" customHeight="1" x14ac:dyDescent="0.25">
      <c r="A16" s="1">
        <f>IF(tblRun[[#This Row],[Date]]="","",WEEKNUM(tblRun[[#This Row],[Date]], 21))</f>
        <v>46</v>
      </c>
      <c r="B16" s="7">
        <v>45972</v>
      </c>
      <c r="C16" s="7" t="s">
        <v>22</v>
      </c>
      <c r="D16" s="14">
        <v>8.27</v>
      </c>
      <c r="E16" s="10">
        <v>186</v>
      </c>
      <c r="F16" s="10" t="s">
        <v>9</v>
      </c>
      <c r="G16" s="3"/>
    </row>
    <row r="17" spans="1:7" ht="30" customHeight="1" x14ac:dyDescent="0.25">
      <c r="A17" s="1">
        <f>IF(tblRun[[#This Row],[Date]]="","",WEEKNUM(tblRun[[#This Row],[Date]], 21))</f>
        <v>46</v>
      </c>
      <c r="B17" s="7">
        <v>45976</v>
      </c>
      <c r="C17" s="7" t="s">
        <v>10</v>
      </c>
      <c r="D17" s="14">
        <v>11.01</v>
      </c>
      <c r="E17" s="10">
        <v>154</v>
      </c>
      <c r="F17" s="10" t="s">
        <v>9</v>
      </c>
      <c r="G17" s="3"/>
    </row>
    <row r="18" spans="1:7" ht="30" customHeight="1" x14ac:dyDescent="0.25">
      <c r="A18" s="1">
        <f>IF(tblRun[[#This Row],[Date]]="","",WEEKNUM(tblRun[[#This Row],[Date]], 21))</f>
        <v>47</v>
      </c>
      <c r="B18" s="7">
        <v>45979</v>
      </c>
      <c r="C18" s="7" t="s">
        <v>23</v>
      </c>
      <c r="D18" s="14">
        <v>8.49</v>
      </c>
      <c r="E18" s="10">
        <v>171</v>
      </c>
      <c r="F18" s="10" t="s">
        <v>9</v>
      </c>
      <c r="G18" s="3"/>
    </row>
    <row r="19" spans="1:7" ht="30" customHeight="1" x14ac:dyDescent="0.25">
      <c r="A19" s="5">
        <f>IF(tblRun[[#This Row],[Date]]="","",WEEKNUM(tblRun[[#This Row],[Date]], 21))</f>
        <v>47</v>
      </c>
      <c r="B19" s="8">
        <v>45982</v>
      </c>
      <c r="C19" s="8" t="s">
        <v>24</v>
      </c>
      <c r="D19" s="15">
        <v>8.58</v>
      </c>
      <c r="E19" s="11">
        <v>191</v>
      </c>
      <c r="F19" s="10" t="s">
        <v>9</v>
      </c>
      <c r="G19" s="8"/>
    </row>
    <row r="20" spans="1:7" ht="30" customHeight="1" x14ac:dyDescent="0.25">
      <c r="A20" s="5">
        <f>IF(tblRun[[#This Row],[Date]]="","",WEEKNUM(tblRun[[#This Row],[Date]], 21))</f>
        <v>47</v>
      </c>
      <c r="B20" s="8">
        <v>45984</v>
      </c>
      <c r="C20" s="8" t="s">
        <v>14</v>
      </c>
      <c r="D20" s="15">
        <v>5.0999999999999996</v>
      </c>
      <c r="E20" s="11">
        <v>96</v>
      </c>
      <c r="F20" s="11" t="s">
        <v>9</v>
      </c>
      <c r="G20" s="5"/>
    </row>
    <row r="21" spans="1:7" ht="30" customHeight="1" x14ac:dyDescent="0.25">
      <c r="A21" s="5">
        <f>IF(tblRun[[#This Row],[Date]]="","",WEEKNUM(tblRun[[#This Row],[Date]], 21))</f>
        <v>48</v>
      </c>
      <c r="B21" s="8">
        <v>45986</v>
      </c>
      <c r="C21" s="7" t="s">
        <v>25</v>
      </c>
      <c r="D21" s="15">
        <v>9.1300000000000008</v>
      </c>
      <c r="E21" s="11">
        <v>189</v>
      </c>
      <c r="F21" s="11" t="s">
        <v>9</v>
      </c>
      <c r="G21" s="5"/>
    </row>
    <row r="22" spans="1:7" ht="30" customHeight="1" x14ac:dyDescent="0.25">
      <c r="A22" s="5">
        <f>IF(tblRun[[#This Row],[Date]]="","",WEEKNUM(tblRun[[#This Row],[Date]], 21))</f>
        <v>48</v>
      </c>
      <c r="B22" s="8">
        <v>45989</v>
      </c>
      <c r="C22" s="8" t="s">
        <v>10</v>
      </c>
      <c r="D22" s="15">
        <v>12.14</v>
      </c>
      <c r="E22" s="11">
        <v>146</v>
      </c>
      <c r="F22" s="11" t="s">
        <v>9</v>
      </c>
      <c r="G22" s="5"/>
    </row>
  </sheetData>
  <mergeCells count="1">
    <mergeCell ref="A1:G1"/>
  </mergeCells>
  <dataValidations disablePrompts="1" count="7">
    <dataValidation type="whole" allowBlank="1" showInputMessage="1" showErrorMessage="1" errorTitle="Felaktigt värde" error="Ange ett datum i formatet:_x000a_YYYY-MM-DD" promptTitle="Ange ett giltigt datum" prompt="Ange datum med formatet YYYY-MM-DD. Datumet får ej vara tidigare än 2025-01-01" sqref="E19:E1048576" xr:uid="{B90499AB-CB1C-4862-9A09-1A8E79FDA042}">
      <formula1>1</formula1>
      <formula2>1000</formula2>
    </dataValidation>
    <dataValidation allowBlank="1" showInputMessage="1" showErrorMessage="1" errorTitle="Felaktigt värde" error="Ange ett datum i formatet:_x000a_YYYY-MM-DD" promptTitle="Ange ett giltigt datum" prompt="Ange datum med formatet YYYY-MM-DD. Datumet får ej vara tidigare än 2025-01-01" sqref="A1:G1" xr:uid="{44B1D9E8-5D9C-4FE8-BE91-5EAB9101EC0B}"/>
    <dataValidation type="whole" allowBlank="1" showInputMessage="1" showErrorMessage="1" errorTitle="Felaktigt värde" error="Ange ett giltigt veckonummer (1-53)" promptTitle="Ange veckonr" sqref="A3:A1048576" xr:uid="{9185004A-D7C4-45B9-997A-B4897926A0DF}">
      <formula1>1</formula1>
      <formula2>53</formula2>
    </dataValidation>
    <dataValidation type="date" operator="greaterThanOrEqual" allowBlank="1" showInputMessage="1" showErrorMessage="1" errorTitle="Felaktigt värde" error="Ange ett datum i formatet:_x000a_YYYY-MM-DD" promptTitle="Ange ett giltigt datum" prompt="Ange datum med formatet YYYY-MM-DD. Datumet får ej vara tidigare än 2025-01-01" sqref="B3:B1048576" xr:uid="{ABD86D59-1447-4151-923B-A37D3EAEDA08}">
      <formula1>45658</formula1>
    </dataValidation>
    <dataValidation type="decimal" operator="greaterThan" allowBlank="1" showInputMessage="1" showErrorMessage="1" errorTitle="Felaktigt värde" error="Ange ett tal större än 0" promptTitle="Ange antal km" sqref="D3:D22" xr:uid="{90E282D8-E0DB-4941-A32F-7363E8E9F983}">
      <formula1>0</formula1>
    </dataValidation>
    <dataValidation type="whole" allowBlank="1" showInputMessage="1" showErrorMessage="1" errorTitle="Felaktigt värde" error="Ange ett heltal 1-1000" promptTitle="Ange ett heltal 1-1000" sqref="E3:E18" xr:uid="{59B89883-A45A-436D-BA9F-E73509A3BADC}">
      <formula1>1</formula1>
      <formula2>1000</formula2>
    </dataValidation>
    <dataValidation type="list" allowBlank="1" showInputMessage="1" showErrorMessage="1" errorTitle="Felaktigt värde!" error="Välj alternativ från listan!" promptTitle="Välj alternativ från listan!" sqref="F3:F1048576" xr:uid="{C181B978-5E6C-4EC9-A9CC-51B1F6793872}">
      <formula1>"Planerat,Inställt,Utfört"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A070-C0B0-4CF5-ACE4-6837EC17BBE0}">
  <dimension ref="A1:G20"/>
  <sheetViews>
    <sheetView workbookViewId="0">
      <selection activeCell="G7" sqref="G7"/>
    </sheetView>
  </sheetViews>
  <sheetFormatPr defaultRowHeight="30" customHeight="1" x14ac:dyDescent="0.25"/>
  <cols>
    <col min="1" max="1" width="6.140625" bestFit="1" customWidth="1"/>
    <col min="2" max="2" width="12.28515625" style="9" customWidth="1"/>
    <col min="3" max="3" width="30.140625" style="9" customWidth="1"/>
    <col min="4" max="5" width="12.7109375" customWidth="1"/>
    <col min="6" max="6" width="12.7109375" style="2" customWidth="1"/>
    <col min="7" max="7" width="44.140625" customWidth="1"/>
  </cols>
  <sheetData>
    <row r="1" spans="1:7" ht="30" customHeight="1" x14ac:dyDescent="0.25">
      <c r="A1" s="20" t="s">
        <v>26</v>
      </c>
      <c r="B1" s="20"/>
      <c r="C1" s="20"/>
      <c r="D1" s="20"/>
      <c r="E1" s="20"/>
      <c r="F1" s="20"/>
      <c r="G1" s="20"/>
    </row>
    <row r="2" spans="1:7" ht="30" customHeight="1" x14ac:dyDescent="0.25">
      <c r="A2" t="s">
        <v>0</v>
      </c>
      <c r="B2" t="s">
        <v>3</v>
      </c>
      <c r="C2" t="s">
        <v>4</v>
      </c>
      <c r="D2" t="s">
        <v>27</v>
      </c>
      <c r="E2" t="s">
        <v>5</v>
      </c>
      <c r="F2" t="s">
        <v>6</v>
      </c>
      <c r="G2" t="s">
        <v>1</v>
      </c>
    </row>
    <row r="3" spans="1:7" ht="30" customHeight="1" x14ac:dyDescent="0.25">
      <c r="A3" s="1">
        <v>39</v>
      </c>
      <c r="B3" s="6">
        <v>45928</v>
      </c>
      <c r="C3" s="6" t="s">
        <v>28</v>
      </c>
      <c r="D3" s="16">
        <v>1.9131944444444444E-2</v>
      </c>
      <c r="E3" s="13">
        <v>8.98</v>
      </c>
      <c r="F3" s="12">
        <v>7</v>
      </c>
      <c r="G3" s="4" t="s">
        <v>29</v>
      </c>
    </row>
    <row r="4" spans="1:7" ht="30" customHeight="1" x14ac:dyDescent="0.25">
      <c r="A4" s="1">
        <v>40</v>
      </c>
      <c r="B4" s="6">
        <v>45929</v>
      </c>
      <c r="C4" s="7" t="s">
        <v>30</v>
      </c>
      <c r="D4" s="17">
        <v>3.3437500000000002E-2</v>
      </c>
      <c r="E4" s="14">
        <v>12.56</v>
      </c>
      <c r="F4" s="10">
        <v>32</v>
      </c>
      <c r="G4" s="3"/>
    </row>
    <row r="5" spans="1:7" ht="30" customHeight="1" x14ac:dyDescent="0.25">
      <c r="A5" s="1">
        <v>40</v>
      </c>
      <c r="B5" s="7">
        <v>45933</v>
      </c>
      <c r="C5" s="7" t="s">
        <v>31</v>
      </c>
      <c r="D5" s="17">
        <v>1.1724537037037037E-2</v>
      </c>
      <c r="E5" s="14">
        <v>6.71</v>
      </c>
      <c r="F5" s="10">
        <v>6</v>
      </c>
      <c r="G5" s="3"/>
    </row>
    <row r="6" spans="1:7" ht="30" customHeight="1" x14ac:dyDescent="0.25">
      <c r="A6" s="1">
        <v>41</v>
      </c>
      <c r="B6" s="7">
        <v>45938</v>
      </c>
      <c r="C6" s="7" t="s">
        <v>30</v>
      </c>
      <c r="D6" s="17">
        <v>3.3449074074074076E-2</v>
      </c>
      <c r="E6" s="14">
        <v>15.65</v>
      </c>
      <c r="F6" s="10">
        <v>38</v>
      </c>
      <c r="G6" s="3"/>
    </row>
    <row r="7" spans="1:7" ht="30" customHeight="1" x14ac:dyDescent="0.25">
      <c r="A7" s="1">
        <v>42</v>
      </c>
      <c r="B7" s="7">
        <v>45948</v>
      </c>
      <c r="C7" s="7" t="s">
        <v>28</v>
      </c>
      <c r="D7" s="17">
        <v>2.0833333333333332E-2</v>
      </c>
      <c r="E7" s="14">
        <v>13.32</v>
      </c>
      <c r="F7" s="10">
        <v>13</v>
      </c>
      <c r="G7" s="3" t="s">
        <v>32</v>
      </c>
    </row>
    <row r="8" spans="1:7" ht="30" customHeight="1" x14ac:dyDescent="0.25">
      <c r="A8" s="1"/>
      <c r="B8" s="7"/>
      <c r="C8" s="7"/>
      <c r="D8" s="17"/>
      <c r="E8" s="14"/>
      <c r="F8" s="10"/>
      <c r="G8" s="3"/>
    </row>
    <row r="9" spans="1:7" ht="30" customHeight="1" x14ac:dyDescent="0.25">
      <c r="A9" s="1"/>
      <c r="B9" s="7"/>
      <c r="C9" s="7"/>
      <c r="D9" s="17"/>
      <c r="E9" s="14"/>
      <c r="F9" s="10"/>
      <c r="G9" s="3"/>
    </row>
    <row r="10" spans="1:7" ht="30" customHeight="1" x14ac:dyDescent="0.25">
      <c r="A10" s="1"/>
      <c r="B10" s="7"/>
      <c r="C10" s="7"/>
      <c r="D10" s="17"/>
      <c r="E10" s="14"/>
      <c r="F10" s="10"/>
      <c r="G10" s="3"/>
    </row>
    <row r="11" spans="1:7" ht="30" customHeight="1" x14ac:dyDescent="0.25">
      <c r="A11" s="1"/>
      <c r="B11" s="7"/>
      <c r="C11" s="7"/>
      <c r="D11" s="17"/>
      <c r="E11" s="14"/>
      <c r="F11" s="10"/>
      <c r="G11" s="3"/>
    </row>
    <row r="12" spans="1:7" ht="30" customHeight="1" x14ac:dyDescent="0.25">
      <c r="A12" s="1"/>
      <c r="B12" s="7"/>
      <c r="C12" s="7"/>
      <c r="D12" s="17"/>
      <c r="E12" s="14"/>
      <c r="F12" s="10"/>
      <c r="G12" s="3"/>
    </row>
    <row r="13" spans="1:7" ht="30" customHeight="1" x14ac:dyDescent="0.25">
      <c r="A13" s="1"/>
      <c r="B13" s="8"/>
      <c r="C13" s="8"/>
      <c r="D13" s="18"/>
      <c r="E13" s="15"/>
      <c r="F13" s="11"/>
      <c r="G13" s="5"/>
    </row>
    <row r="14" spans="1:7" ht="30" customHeight="1" x14ac:dyDescent="0.25">
      <c r="A14" s="1"/>
      <c r="B14" s="7"/>
      <c r="C14" s="7"/>
      <c r="D14" s="17"/>
      <c r="E14" s="14"/>
      <c r="F14" s="10"/>
      <c r="G14" s="3"/>
    </row>
    <row r="15" spans="1:7" ht="30" customHeight="1" x14ac:dyDescent="0.25">
      <c r="A15" s="1"/>
      <c r="B15" s="7"/>
      <c r="C15" s="7"/>
      <c r="D15" s="17"/>
      <c r="E15" s="14"/>
      <c r="F15" s="10"/>
      <c r="G15" s="3"/>
    </row>
    <row r="16" spans="1:7" ht="30" customHeight="1" x14ac:dyDescent="0.25">
      <c r="A16" s="1"/>
      <c r="B16" s="7"/>
      <c r="C16" s="7"/>
      <c r="D16" s="17"/>
      <c r="E16" s="14"/>
      <c r="F16" s="10"/>
      <c r="G16" s="3"/>
    </row>
    <row r="17" spans="1:7" ht="30" customHeight="1" x14ac:dyDescent="0.25">
      <c r="A17" s="1"/>
      <c r="B17" s="7"/>
      <c r="C17" s="7"/>
      <c r="D17" s="17"/>
      <c r="E17" s="14"/>
      <c r="F17" s="10"/>
      <c r="G17" s="3"/>
    </row>
    <row r="18" spans="1:7" ht="30" customHeight="1" x14ac:dyDescent="0.25">
      <c r="A18" s="1"/>
      <c r="B18" s="7"/>
      <c r="C18" s="7"/>
      <c r="D18" s="17"/>
      <c r="E18" s="14"/>
      <c r="F18" s="10"/>
      <c r="G18" s="3"/>
    </row>
    <row r="19" spans="1:7" ht="30" customHeight="1" x14ac:dyDescent="0.25">
      <c r="A19" s="1"/>
      <c r="B19" s="7"/>
      <c r="C19" s="7"/>
      <c r="D19" s="17"/>
      <c r="E19" s="14"/>
      <c r="F19" s="10"/>
      <c r="G19" s="3"/>
    </row>
    <row r="20" spans="1:7" ht="30" customHeight="1" x14ac:dyDescent="0.25">
      <c r="B20" s="8"/>
      <c r="C20" s="8"/>
      <c r="D20" s="8"/>
      <c r="E20" s="8"/>
      <c r="F20" s="11"/>
      <c r="G20" s="8"/>
    </row>
  </sheetData>
  <mergeCells count="1">
    <mergeCell ref="A1:G1"/>
  </mergeCells>
  <dataValidations count="6">
    <dataValidation allowBlank="1" showInputMessage="1" showErrorMessage="1" errorTitle="Felaktigt värde" error="Ange ett datum i formatet:_x000a_YYYY-MM-DD" promptTitle="Ange ett giltigt datum" prompt="Ange datum med formatet YYYY-MM-DD. Datumet får ej vara tidigare än 2025-01-01" sqref="A1:G1" xr:uid="{FBFC6BB4-8D7B-42E7-B108-6B31E4C97159}"/>
    <dataValidation type="time" operator="greaterThan" allowBlank="1" showInputMessage="1" showErrorMessage="1" errorTitle="Felaktigt värde" error="Ange tidsåtgång i formatet HH:MM:SS" promptTitle="Ange tidsåtgång" prompt="HH:MM:SS" sqref="D3:D19" xr:uid="{8498EB62-8187-440E-AAF7-C44965BC59FE}">
      <formula1>0</formula1>
    </dataValidation>
    <dataValidation type="decimal" operator="greaterThan" allowBlank="1" showInputMessage="1" showErrorMessage="1" errorTitle="Felaktigt värde" error="Ange ett tal större än 0" promptTitle="Ange antal km" sqref="E3:E19" xr:uid="{1CEEB816-3C4D-4839-B269-DD05B1EB8827}">
      <formula1>0</formula1>
    </dataValidation>
    <dataValidation type="date" operator="greaterThanOrEqual" allowBlank="1" showInputMessage="1" showErrorMessage="1" errorTitle="Felaktigt värde" error="Ange ett datum i formatet:_x000a_YYYY-MM-DD" promptTitle="Ange ett giltigt datum" prompt="Ange datum med formatet YYYY-MM-DD. Datumet får ej vara tidigare än 2025-01-01" sqref="B3:B1048576" xr:uid="{AAC5F6D1-D259-433A-BEE2-2A9B0E4E7AB4}">
      <formula1>45658</formula1>
    </dataValidation>
    <dataValidation type="whole" allowBlank="1" showInputMessage="1" showErrorMessage="1" errorTitle="Felaktigt värde" error="Ange ett giltigt veckonummer (1-53)" promptTitle="Ange veckonr" sqref="A3:A1048576" xr:uid="{39BBE391-5820-421C-AA13-207F976D0AFA}">
      <formula1>1</formula1>
      <formula2>53</formula2>
    </dataValidation>
    <dataValidation type="whole" allowBlank="1" showInputMessage="1" showErrorMessage="1" errorTitle="Felaktigt värde" error="Ange ett datum i formatet:_x000a_YYYY-MM-DD" promptTitle="Ange ett giltigt datum" prompt="Ange datum med formatet YYYY-MM-DD. Datumet får ej vara tidigare än 2025-01-01" sqref="F3:F1048576" xr:uid="{9DAFC153-236E-4C89-B3C0-F5B08EE2E763}">
      <formula1>1</formula1>
      <formula2>1000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B6A3-61C0-49D7-9982-629340274D2C}">
  <dimension ref="A1:J20"/>
  <sheetViews>
    <sheetView workbookViewId="0">
      <selection activeCell="I14" sqref="I14"/>
    </sheetView>
  </sheetViews>
  <sheetFormatPr defaultRowHeight="30" customHeight="1" x14ac:dyDescent="0.25"/>
  <cols>
    <col min="1" max="1" width="6.140625" bestFit="1" customWidth="1"/>
    <col min="2" max="2" width="12.28515625" style="9" customWidth="1"/>
    <col min="3" max="3" width="30.140625" style="9" customWidth="1"/>
    <col min="4" max="5" width="12.7109375" customWidth="1"/>
    <col min="6" max="6" width="13.5703125" bestFit="1" customWidth="1"/>
    <col min="7" max="8" width="12.7109375" customWidth="1"/>
    <col min="9" max="9" width="12.7109375" style="2" customWidth="1"/>
    <col min="10" max="10" width="44.140625" customWidth="1"/>
  </cols>
  <sheetData>
    <row r="1" spans="1:10" ht="30" customHeight="1" x14ac:dyDescent="0.25">
      <c r="A1" s="21" t="s">
        <v>33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0" customHeight="1" x14ac:dyDescent="0.25">
      <c r="A2" t="s">
        <v>0</v>
      </c>
      <c r="B2" t="s">
        <v>3</v>
      </c>
      <c r="C2" t="s">
        <v>4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6</v>
      </c>
      <c r="J2" t="s">
        <v>1</v>
      </c>
    </row>
    <row r="3" spans="1:10" ht="30" customHeight="1" x14ac:dyDescent="0.25">
      <c r="A3" s="1">
        <v>38</v>
      </c>
      <c r="B3" s="6">
        <v>45917</v>
      </c>
      <c r="C3" s="6" t="s">
        <v>39</v>
      </c>
      <c r="D3" s="4">
        <v>6</v>
      </c>
      <c r="E3" s="4">
        <v>3</v>
      </c>
      <c r="F3" s="4">
        <v>4</v>
      </c>
      <c r="G3" s="4">
        <v>1</v>
      </c>
      <c r="H3" s="4">
        <f>_xlfn.LET(_xlpm.sets, tblStrength[[#This Row],[leg_sets]]+tblStrength[[#This Row],[core_sets]]+tblStrength[[#This Row],[upper_body_sets]]+tblStrength[[#This Row],[plyo_sets]], IF(_xlpm.sets&gt;0, _xlpm.sets, NA()))</f>
        <v>14</v>
      </c>
      <c r="I3" s="12">
        <v>17</v>
      </c>
      <c r="J3" s="4"/>
    </row>
    <row r="4" spans="1:10" ht="30" customHeight="1" x14ac:dyDescent="0.25">
      <c r="A4" s="1">
        <v>38</v>
      </c>
      <c r="B4" s="7">
        <v>45920</v>
      </c>
      <c r="C4" s="7" t="s">
        <v>40</v>
      </c>
      <c r="D4" s="3">
        <v>14</v>
      </c>
      <c r="E4" s="3">
        <v>2</v>
      </c>
      <c r="F4" s="3">
        <v>10</v>
      </c>
      <c r="G4" s="3">
        <v>0</v>
      </c>
      <c r="H4" s="3">
        <f>_xlfn.LET(_xlpm.sets, tblStrength[[#This Row],[leg_sets]]+tblStrength[[#This Row],[core_sets]]+tblStrength[[#This Row],[upper_body_sets]]+tblStrength[[#This Row],[plyo_sets]], IF(_xlpm.sets&gt;0, _xlpm.sets, NA()))</f>
        <v>26</v>
      </c>
      <c r="I4" s="10">
        <v>28</v>
      </c>
      <c r="J4" s="3"/>
    </row>
    <row r="5" spans="1:10" ht="30" customHeight="1" x14ac:dyDescent="0.25">
      <c r="A5" s="1">
        <v>39</v>
      </c>
      <c r="B5" s="7">
        <v>45923</v>
      </c>
      <c r="C5" s="7" t="s">
        <v>41</v>
      </c>
      <c r="D5" s="3">
        <v>0</v>
      </c>
      <c r="E5" s="3">
        <v>0</v>
      </c>
      <c r="F5" s="3">
        <v>12</v>
      </c>
      <c r="G5" s="3">
        <v>0</v>
      </c>
      <c r="H5" s="3">
        <f>_xlfn.LET(_xlpm.sets, tblStrength[[#This Row],[leg_sets]]+tblStrength[[#This Row],[core_sets]]+tblStrength[[#This Row],[upper_body_sets]]+tblStrength[[#This Row],[plyo_sets]], IF(_xlpm.sets&gt;0, _xlpm.sets, NA()))</f>
        <v>12</v>
      </c>
      <c r="I5" s="10">
        <v>10</v>
      </c>
      <c r="J5" s="3"/>
    </row>
    <row r="6" spans="1:10" ht="30" customHeight="1" x14ac:dyDescent="0.25">
      <c r="A6" s="1">
        <v>39</v>
      </c>
      <c r="B6" s="7">
        <v>45924</v>
      </c>
      <c r="C6" s="7" t="s">
        <v>42</v>
      </c>
      <c r="D6" s="3">
        <v>6</v>
      </c>
      <c r="E6" s="3">
        <v>3</v>
      </c>
      <c r="F6" s="3">
        <v>0</v>
      </c>
      <c r="G6" s="3">
        <v>3</v>
      </c>
      <c r="H6" s="3">
        <f>_xlfn.LET(_xlpm.sets, tblStrength[[#This Row],[leg_sets]]+tblStrength[[#This Row],[core_sets]]+tblStrength[[#This Row],[upper_body_sets]]+tblStrength[[#This Row],[plyo_sets]], IF(_xlpm.sets&gt;0, _xlpm.sets, NA()))</f>
        <v>12</v>
      </c>
      <c r="I6" s="10">
        <v>37</v>
      </c>
      <c r="J6" s="3"/>
    </row>
    <row r="7" spans="1:10" ht="30" customHeight="1" x14ac:dyDescent="0.25">
      <c r="A7" s="1">
        <v>39</v>
      </c>
      <c r="B7" s="7">
        <v>45927</v>
      </c>
      <c r="C7" s="7" t="s">
        <v>40</v>
      </c>
      <c r="D7" s="3">
        <v>13</v>
      </c>
      <c r="E7" s="3">
        <v>2</v>
      </c>
      <c r="F7" s="3">
        <v>4</v>
      </c>
      <c r="G7" s="3">
        <v>0</v>
      </c>
      <c r="H7" s="3">
        <f>_xlfn.LET(_xlpm.sets, tblStrength[[#This Row],[leg_sets]]+tblStrength[[#This Row],[core_sets]]+tblStrength[[#This Row],[upper_body_sets]]+tblStrength[[#This Row],[plyo_sets]], IF(_xlpm.sets&gt;0, _xlpm.sets, NA()))</f>
        <v>19</v>
      </c>
      <c r="I7" s="10">
        <v>20</v>
      </c>
      <c r="J7" s="3"/>
    </row>
    <row r="8" spans="1:10" ht="30" customHeight="1" x14ac:dyDescent="0.25">
      <c r="A8" s="1">
        <v>40</v>
      </c>
      <c r="B8" s="7">
        <v>45931</v>
      </c>
      <c r="C8" s="7" t="s">
        <v>43</v>
      </c>
      <c r="D8" s="3">
        <v>14</v>
      </c>
      <c r="E8" s="3">
        <v>2</v>
      </c>
      <c r="F8" s="3">
        <v>0</v>
      </c>
      <c r="G8" s="3">
        <v>2</v>
      </c>
      <c r="H8" s="3">
        <f>_xlfn.LET(_xlpm.sets, tblStrength[[#This Row],[leg_sets]]+tblStrength[[#This Row],[core_sets]]+tblStrength[[#This Row],[upper_body_sets]]+tblStrength[[#This Row],[plyo_sets]], IF(_xlpm.sets&gt;0, _xlpm.sets, NA()))</f>
        <v>18</v>
      </c>
      <c r="I8" s="10">
        <v>62</v>
      </c>
      <c r="J8" s="3"/>
    </row>
    <row r="9" spans="1:10" ht="30" customHeight="1" x14ac:dyDescent="0.25">
      <c r="A9" s="1">
        <v>40</v>
      </c>
      <c r="B9" s="7">
        <v>45932</v>
      </c>
      <c r="C9" s="7" t="s">
        <v>41</v>
      </c>
      <c r="D9" s="3">
        <v>0</v>
      </c>
      <c r="E9" s="3">
        <v>0</v>
      </c>
      <c r="F9" s="3">
        <v>13</v>
      </c>
      <c r="G9" s="3">
        <v>0</v>
      </c>
      <c r="H9" s="3">
        <f>_xlfn.LET(_xlpm.sets, tblStrength[[#This Row],[leg_sets]]+tblStrength[[#This Row],[core_sets]]+tblStrength[[#This Row],[upper_body_sets]]+tblStrength[[#This Row],[plyo_sets]], IF(_xlpm.sets&gt;0, _xlpm.sets, NA()))</f>
        <v>13</v>
      </c>
      <c r="I9" s="10">
        <v>10</v>
      </c>
      <c r="J9" s="3"/>
    </row>
    <row r="10" spans="1:10" ht="30" customHeight="1" x14ac:dyDescent="0.25">
      <c r="A10" s="1">
        <v>40</v>
      </c>
      <c r="B10" s="7">
        <v>45934</v>
      </c>
      <c r="C10" s="7" t="s">
        <v>44</v>
      </c>
      <c r="D10" s="3">
        <v>16</v>
      </c>
      <c r="E10" s="3">
        <v>2</v>
      </c>
      <c r="F10" s="3">
        <v>0</v>
      </c>
      <c r="G10" s="3">
        <v>0</v>
      </c>
      <c r="H10" s="3">
        <f>_xlfn.LET(_xlpm.sets, tblStrength[[#This Row],[leg_sets]]+tblStrength[[#This Row],[core_sets]]+tblStrength[[#This Row],[upper_body_sets]]+tblStrength[[#This Row],[plyo_sets]], IF(_xlpm.sets&gt;0, _xlpm.sets, NA()))</f>
        <v>18</v>
      </c>
      <c r="I10" s="10">
        <v>13</v>
      </c>
      <c r="J10" s="3"/>
    </row>
    <row r="11" spans="1:10" ht="30" customHeight="1" x14ac:dyDescent="0.25">
      <c r="A11" s="1">
        <v>41</v>
      </c>
      <c r="B11" s="7">
        <v>45937</v>
      </c>
      <c r="C11" s="7" t="s">
        <v>45</v>
      </c>
      <c r="D11" s="3">
        <v>0</v>
      </c>
      <c r="E11" s="3">
        <v>4</v>
      </c>
      <c r="F11" s="3">
        <v>13</v>
      </c>
      <c r="G11" s="3">
        <v>0</v>
      </c>
      <c r="H11" s="3">
        <f>_xlfn.LET(_xlpm.sets, tblStrength[[#This Row],[leg_sets]]+tblStrength[[#This Row],[core_sets]]+tblStrength[[#This Row],[upper_body_sets]]+tblStrength[[#This Row],[plyo_sets]], IF(_xlpm.sets&gt;0, _xlpm.sets, NA()))</f>
        <v>17</v>
      </c>
      <c r="I11" s="10">
        <v>13</v>
      </c>
      <c r="J11" s="3"/>
    </row>
    <row r="12" spans="1:10" ht="30" customHeight="1" x14ac:dyDescent="0.25">
      <c r="A12" s="1">
        <v>41</v>
      </c>
      <c r="B12" s="7">
        <v>45938</v>
      </c>
      <c r="C12" s="7" t="s">
        <v>46</v>
      </c>
      <c r="D12" s="3">
        <v>19</v>
      </c>
      <c r="E12" s="3">
        <v>0</v>
      </c>
      <c r="F12" s="3">
        <v>0</v>
      </c>
      <c r="G12" s="3">
        <v>4</v>
      </c>
      <c r="H12" s="3">
        <f>_xlfn.LET(_xlpm.sets, tblStrength[[#This Row],[leg_sets]]+tblStrength[[#This Row],[core_sets]]+tblStrength[[#This Row],[upper_body_sets]]+tblStrength[[#This Row],[plyo_sets]], IF(_xlpm.sets&gt;0, _xlpm.sets, NA()))</f>
        <v>23</v>
      </c>
      <c r="I12" s="10">
        <v>21</v>
      </c>
      <c r="J12" s="3"/>
    </row>
    <row r="13" spans="1:10" ht="30" customHeight="1" x14ac:dyDescent="0.25">
      <c r="A13" s="1">
        <v>41</v>
      </c>
      <c r="B13" s="8">
        <v>45941</v>
      </c>
      <c r="C13" s="8" t="s">
        <v>47</v>
      </c>
      <c r="D13" s="8">
        <v>17</v>
      </c>
      <c r="E13" s="5">
        <v>0</v>
      </c>
      <c r="F13" s="5">
        <v>0</v>
      </c>
      <c r="G13" s="5">
        <v>0</v>
      </c>
      <c r="H13" s="5">
        <f>_xlfn.LET(_xlpm.sets, tblStrength[[#This Row],[leg_sets]]+tblStrength[[#This Row],[core_sets]]+tblStrength[[#This Row],[upper_body_sets]]+tblStrength[[#This Row],[plyo_sets]], IF(_xlpm.sets&gt;0, _xlpm.sets, NA()))</f>
        <v>17</v>
      </c>
      <c r="I13" s="11">
        <v>11</v>
      </c>
      <c r="J13" s="5"/>
    </row>
    <row r="14" spans="1:10" ht="30" customHeight="1" x14ac:dyDescent="0.25">
      <c r="A14" s="1">
        <v>42</v>
      </c>
      <c r="B14" s="7">
        <v>45949</v>
      </c>
      <c r="C14" s="7" t="s">
        <v>48</v>
      </c>
      <c r="D14" s="3">
        <v>16</v>
      </c>
      <c r="E14" s="3">
        <v>2</v>
      </c>
      <c r="F14" s="3">
        <v>4</v>
      </c>
      <c r="G14" s="3">
        <v>2</v>
      </c>
      <c r="H14" s="3">
        <f>_xlfn.LET(_xlpm.sets, tblStrength[[#This Row],[leg_sets]]+tblStrength[[#This Row],[core_sets]]+tblStrength[[#This Row],[upper_body_sets]]+tblStrength[[#This Row],[plyo_sets]], IF(_xlpm.sets&gt;0, _xlpm.sets, NA()))</f>
        <v>24</v>
      </c>
      <c r="I14" s="10">
        <v>38</v>
      </c>
      <c r="J14" s="3"/>
    </row>
    <row r="15" spans="1:10" ht="30" customHeight="1" x14ac:dyDescent="0.25">
      <c r="A15" s="1"/>
      <c r="B15" s="7"/>
      <c r="C15" s="7"/>
      <c r="D15" s="7"/>
      <c r="E15" s="3"/>
      <c r="F15" s="3"/>
      <c r="G15" s="3"/>
      <c r="H15" s="3" t="e">
        <f>_xlfn.LET(_xlpm.sets, tblStrength[[#This Row],[leg_sets]]+tblStrength[[#This Row],[core_sets]]+tblStrength[[#This Row],[upper_body_sets]]+tblStrength[[#This Row],[plyo_sets]], IF(_xlpm.sets&gt;0, _xlpm.sets, NA()))</f>
        <v>#N/A</v>
      </c>
      <c r="I15" s="10"/>
      <c r="J15" s="3"/>
    </row>
    <row r="16" spans="1:10" ht="30" customHeight="1" x14ac:dyDescent="0.25">
      <c r="A16" s="1"/>
      <c r="B16" s="7"/>
      <c r="C16" s="7"/>
      <c r="D16" s="7"/>
      <c r="E16" s="3"/>
      <c r="F16" s="3"/>
      <c r="G16" s="3"/>
      <c r="H16" s="3" t="e">
        <f>_xlfn.LET(_xlpm.sets, tblStrength[[#This Row],[leg_sets]]+tblStrength[[#This Row],[core_sets]]+tblStrength[[#This Row],[upper_body_sets]]+tblStrength[[#This Row],[plyo_sets]], IF(_xlpm.sets&gt;0, _xlpm.sets, NA()))</f>
        <v>#N/A</v>
      </c>
      <c r="I16" s="10"/>
      <c r="J16" s="3"/>
    </row>
    <row r="17" spans="1:10" ht="30" customHeight="1" x14ac:dyDescent="0.25">
      <c r="A17" s="1"/>
      <c r="B17" s="7"/>
      <c r="C17" s="7"/>
      <c r="D17" s="7"/>
      <c r="E17" s="3"/>
      <c r="F17" s="3"/>
      <c r="G17" s="3"/>
      <c r="H17" s="3" t="e">
        <f>_xlfn.LET(_xlpm.sets, tblStrength[[#This Row],[leg_sets]]+tblStrength[[#This Row],[core_sets]]+tblStrength[[#This Row],[upper_body_sets]]+tblStrength[[#This Row],[plyo_sets]], IF(_xlpm.sets&gt;0, _xlpm.sets, NA()))</f>
        <v>#N/A</v>
      </c>
      <c r="I17" s="10"/>
      <c r="J17" s="3"/>
    </row>
    <row r="18" spans="1:10" ht="30" customHeight="1" x14ac:dyDescent="0.25">
      <c r="A18" s="1"/>
      <c r="B18" s="7"/>
      <c r="C18" s="7"/>
      <c r="D18" s="7"/>
      <c r="E18" s="3"/>
      <c r="F18" s="3"/>
      <c r="G18" s="3"/>
      <c r="H18" s="3" t="e">
        <f>_xlfn.LET(_xlpm.sets, tblStrength[[#This Row],[leg_sets]]+tblStrength[[#This Row],[core_sets]]+tblStrength[[#This Row],[upper_body_sets]]+tblStrength[[#This Row],[plyo_sets]], IF(_xlpm.sets&gt;0, _xlpm.sets, NA()))</f>
        <v>#N/A</v>
      </c>
      <c r="I18" s="10"/>
      <c r="J18" s="3"/>
    </row>
    <row r="19" spans="1:10" ht="30" customHeight="1" x14ac:dyDescent="0.25">
      <c r="A19" s="1"/>
      <c r="B19" s="7"/>
      <c r="C19" s="7"/>
      <c r="D19" s="7"/>
      <c r="E19" s="3"/>
      <c r="F19" s="3"/>
      <c r="G19" s="3"/>
      <c r="H19" s="3" t="e">
        <f>_xlfn.LET(_xlpm.sets, tblStrength[[#This Row],[leg_sets]]+tblStrength[[#This Row],[core_sets]]+tblStrength[[#This Row],[upper_body_sets]]+tblStrength[[#This Row],[plyo_sets]], IF(_xlpm.sets&gt;0, _xlpm.sets, NA()))</f>
        <v>#N/A</v>
      </c>
      <c r="I19" s="10"/>
      <c r="J19" s="3"/>
    </row>
    <row r="20" spans="1:10" ht="30" customHeight="1" x14ac:dyDescent="0.25">
      <c r="B20" s="8"/>
      <c r="C20" s="8"/>
      <c r="D20" s="8"/>
      <c r="E20" s="8"/>
      <c r="F20" s="8"/>
      <c r="G20" s="8"/>
      <c r="H20" s="8"/>
      <c r="I20" s="11"/>
      <c r="J20" s="8"/>
    </row>
  </sheetData>
  <mergeCells count="1">
    <mergeCell ref="A1:J1"/>
  </mergeCells>
  <dataValidations count="5">
    <dataValidation type="whole" allowBlank="1" showInputMessage="1" showErrorMessage="1" errorTitle="Felaktigt värde" error="Ange ett giltigt veckonummer (1-53)" promptTitle="Ange veckonr" sqref="A3:A1048576" xr:uid="{36530FB9-D8E6-4957-B72D-1651D48247BE}">
      <formula1>1</formula1>
      <formula2>53</formula2>
    </dataValidation>
    <dataValidation type="whole" allowBlank="1" showInputMessage="1" showErrorMessage="1" errorTitle="Felaktigt värde" error="Ange ett datum i formatet:_x000a_YYYY-MM-DD" promptTitle="Ange ett giltigt datum" prompt="Ange datum med formatet YYYY-MM-DD. Datumet får ej vara tidigare än 2025-01-01" sqref="I3:I1048576" xr:uid="{D1711DA7-1D5E-4916-9FA3-ADAA87346BA5}">
      <formula1>1</formula1>
      <formula2>1000</formula2>
    </dataValidation>
    <dataValidation type="whole" operator="greaterThanOrEqual" allowBlank="1" showInputMessage="1" showErrorMessage="1" errorTitle="Erroneous value" error="Choose value from list" promptTitle="Yes or No" prompt="Choose a value from the list" sqref="D3:G19" xr:uid="{F59F7D07-D820-4A2E-99B7-A23CC8BCDFD1}">
      <formula1>0</formula1>
    </dataValidation>
    <dataValidation operator="greaterThanOrEqual" allowBlank="1" errorTitle="Erroneous value" error="Choose value from list" promptTitle="Yes or No" prompt="Choose a value from the list" sqref="H3:H19" xr:uid="{880E20C4-1683-4DEF-9F64-2A845714C628}"/>
    <dataValidation type="date" operator="greaterThanOrEqual" allowBlank="1" showInputMessage="1" showErrorMessage="1" errorTitle="Felaktigt värde" error="Ange ett datum i formatet:_x000a_YYYY-MM-DD" promptTitle="Ange ett giltigt datum" prompt="Ange datum med formatet YYYY-MM-DD. Datumet får ej vara tidigare än 2025-01-01" sqref="B3:B10 B12:B1048576" xr:uid="{40D0651E-EDB7-47AF-8D5A-A0DEF8D88034}">
      <formula1>45658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Running sessions</vt:lpstr>
      <vt:lpstr>Cross sessions</vt:lpstr>
      <vt:lpstr>Strength sessions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Thorén</dc:creator>
  <cp:keywords/>
  <dc:description/>
  <cp:lastModifiedBy>Andreas Thorén</cp:lastModifiedBy>
  <cp:revision/>
  <dcterms:created xsi:type="dcterms:W3CDTF">2025-02-24T19:59:18Z</dcterms:created>
  <dcterms:modified xsi:type="dcterms:W3CDTF">2025-12-23T19:27:49Z</dcterms:modified>
  <cp:category/>
  <cp:contentStatus/>
</cp:coreProperties>
</file>